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9F14E05-595F-4629-8523-5F4DBE9910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1" l="1"/>
  <c r="M21" i="1"/>
  <c r="L21" i="1"/>
  <c r="K21" i="1"/>
  <c r="J21" i="1"/>
  <c r="G21" i="1"/>
  <c r="N20" i="1"/>
  <c r="M20" i="1"/>
  <c r="L20" i="1"/>
  <c r="K20" i="1"/>
  <c r="J20" i="1"/>
  <c r="G20" i="1"/>
  <c r="N19" i="1"/>
  <c r="M19" i="1"/>
  <c r="L19" i="1"/>
  <c r="K19" i="1"/>
  <c r="J19" i="1"/>
  <c r="G19" i="1"/>
  <c r="N18" i="1"/>
  <c r="M18" i="1"/>
  <c r="L18" i="1"/>
  <c r="K18" i="1"/>
  <c r="J18" i="1"/>
  <c r="G18" i="1"/>
  <c r="N17" i="1"/>
  <c r="M17" i="1"/>
  <c r="L17" i="1"/>
  <c r="K17" i="1"/>
  <c r="J17" i="1"/>
  <c r="G17" i="1"/>
  <c r="O14" i="1"/>
  <c r="N14" i="1"/>
  <c r="M14" i="1"/>
  <c r="L14" i="1"/>
  <c r="K14" i="1"/>
  <c r="J14" i="1"/>
  <c r="G14" i="1"/>
  <c r="O13" i="1"/>
  <c r="N13" i="1"/>
  <c r="M13" i="1"/>
  <c r="L13" i="1"/>
  <c r="K13" i="1"/>
  <c r="J13" i="1"/>
  <c r="G13" i="1"/>
  <c r="O12" i="1"/>
  <c r="N12" i="1"/>
  <c r="M12" i="1"/>
  <c r="L12" i="1"/>
  <c r="K12" i="1"/>
  <c r="J12" i="1"/>
  <c r="G12" i="1"/>
  <c r="O11" i="1"/>
  <c r="N11" i="1"/>
  <c r="M11" i="1"/>
  <c r="L11" i="1"/>
  <c r="K11" i="1"/>
  <c r="J11" i="1"/>
  <c r="G11" i="1"/>
  <c r="O8" i="1"/>
  <c r="N8" i="1"/>
  <c r="M8" i="1"/>
  <c r="L8" i="1"/>
  <c r="K8" i="1"/>
  <c r="J8" i="1"/>
  <c r="G8" i="1"/>
  <c r="O7" i="1"/>
  <c r="N7" i="1"/>
  <c r="M7" i="1"/>
  <c r="L7" i="1"/>
  <c r="K7" i="1"/>
  <c r="J7" i="1"/>
  <c r="G7" i="1"/>
  <c r="O6" i="1"/>
  <c r="N6" i="1"/>
  <c r="M6" i="1"/>
  <c r="L6" i="1"/>
  <c r="K6" i="1"/>
  <c r="J6" i="1"/>
  <c r="G6" i="1"/>
  <c r="O5" i="1"/>
  <c r="N5" i="1"/>
  <c r="M5" i="1"/>
  <c r="L5" i="1"/>
  <c r="K5" i="1"/>
  <c r="J5" i="1"/>
  <c r="G5" i="1"/>
</calcChain>
</file>

<file path=xl/sharedStrings.xml><?xml version="1.0" encoding="utf-8"?>
<sst xmlns="http://schemas.openxmlformats.org/spreadsheetml/2006/main" count="40" uniqueCount="39">
  <si>
    <t>SMMLV</t>
  </si>
  <si>
    <t>Pueden ser: Fondo de pensiones, fondo de solidaridad, impuesto sobre la renta</t>
  </si>
  <si>
    <t>ENTRADA</t>
  </si>
  <si>
    <t>Casos normales</t>
  </si>
  <si>
    <t>Salario</t>
  </si>
  <si>
    <t>Horas extras</t>
  </si>
  <si>
    <t>bonificaciones</t>
  </si>
  <si>
    <t>Comisiones</t>
  </si>
  <si>
    <t>Auxilios</t>
  </si>
  <si>
    <t>Valores devengados</t>
  </si>
  <si>
    <t>Salud</t>
  </si>
  <si>
    <t>Pensión</t>
  </si>
  <si>
    <t>Impuestos_dinero</t>
  </si>
  <si>
    <t>Salud_dinero</t>
  </si>
  <si>
    <t>Pension_dinero</t>
  </si>
  <si>
    <t>Deducciones de ley</t>
  </si>
  <si>
    <t>Salario Neto</t>
  </si>
  <si>
    <t>SALIDA</t>
  </si>
  <si>
    <t>Caso normal 1</t>
  </si>
  <si>
    <t>Caso normal 2</t>
  </si>
  <si>
    <t>Caso normal 3</t>
  </si>
  <si>
    <t>Caso normal 4</t>
  </si>
  <si>
    <t>Empleado no trabajó</t>
  </si>
  <si>
    <t>Salario en limite de impuestos sin beneficios extra</t>
  </si>
  <si>
    <t>Salario muy alto</t>
  </si>
  <si>
    <t>Ingreso solo por auxilios</t>
  </si>
  <si>
    <t>Casos de error</t>
  </si>
  <si>
    <t>Salario negativo</t>
  </si>
  <si>
    <t>ERROR, El salario no puede ser negativo</t>
  </si>
  <si>
    <t>Numero excesivamente grande</t>
  </si>
  <si>
    <t>ERROR, Valor fuera del rango permitido</t>
  </si>
  <si>
    <t>Deducciones mayores que lo permitido</t>
  </si>
  <si>
    <t>40%%</t>
  </si>
  <si>
    <t>ERROR, Porcentaje fuera del rango legal permitido</t>
  </si>
  <si>
    <t>Campos obligatorios vacíos</t>
  </si>
  <si>
    <t>ERROR, Hay campos obligatorios vacíos</t>
  </si>
  <si>
    <t>Tipo de datos incorrecto</t>
  </si>
  <si>
    <t>ERROR, Tipo de dato inválido</t>
  </si>
  <si>
    <t>Casos extraordinarios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</si>
</sst>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9" fontId="0" fillId="0" borderId="3" xfId="0" applyNumberFormat="1" applyBorder="1">
      <alignment vertical="center"/>
    </xf>
    <xf numFmtId="0" fontId="1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1"/>
  <sheetViews>
    <sheetView tabSelected="1" workbookViewId="0">
      <selection activeCell="A6" sqref="A6"/>
    </sheetView>
  </sheetViews>
  <sheetFormatPr baseColWidth="10" defaultColWidth="9.109375" defaultRowHeight="14.4"/>
  <cols>
    <col min="1" max="1" width="39.44140625" customWidth="1"/>
    <col min="2" max="2" width="12.88671875" customWidth="1"/>
    <col min="3" max="3" width="12.6640625" customWidth="1"/>
    <col min="4" max="4" width="15" customWidth="1"/>
    <col min="5" max="5" width="12.109375" customWidth="1"/>
    <col min="6" max="6" width="8.6640625" customWidth="1"/>
    <col min="7" max="7" width="20.5546875" customWidth="1"/>
    <col min="8" max="8" width="6.44140625" customWidth="1"/>
    <col min="9" max="9" width="8.6640625" customWidth="1"/>
    <col min="10" max="10" width="18.6640625" customWidth="1"/>
    <col min="11" max="11" width="13.6640625" customWidth="1"/>
    <col min="12" max="12" width="16.33203125" customWidth="1"/>
    <col min="13" max="13" width="11.6640625" customWidth="1"/>
    <col min="14" max="14" width="12.88671875" customWidth="1"/>
    <col min="15" max="15" width="52.88671875" customWidth="1"/>
  </cols>
  <sheetData>
    <row r="2" spans="1:15" ht="57.6">
      <c r="F2" s="1" t="s">
        <v>0</v>
      </c>
      <c r="G2" s="2">
        <v>1750905</v>
      </c>
      <c r="J2" s="10" t="s">
        <v>1</v>
      </c>
    </row>
    <row r="3" spans="1:15">
      <c r="A3" s="3"/>
      <c r="B3" s="11" t="s">
        <v>2</v>
      </c>
      <c r="C3" s="11"/>
      <c r="D3" s="11"/>
      <c r="E3" s="11"/>
      <c r="F3" s="12"/>
      <c r="G3" s="3"/>
      <c r="H3" s="11" t="s">
        <v>2</v>
      </c>
      <c r="I3" s="11"/>
      <c r="J3" s="11"/>
      <c r="K3" s="3"/>
      <c r="L3" s="3"/>
      <c r="M3" s="3"/>
      <c r="N3" s="3"/>
      <c r="O3" s="3"/>
    </row>
    <row r="4" spans="1:15" ht="28.8">
      <c r="A4" s="5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6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5" t="s">
        <v>15</v>
      </c>
      <c r="N4" s="6" t="s">
        <v>16</v>
      </c>
      <c r="O4" s="6" t="s">
        <v>17</v>
      </c>
    </row>
    <row r="5" spans="1:15">
      <c r="A5" s="7" t="s">
        <v>18</v>
      </c>
      <c r="B5" s="3">
        <v>5000000</v>
      </c>
      <c r="C5" s="3">
        <v>150000</v>
      </c>
      <c r="D5" s="3">
        <v>50000</v>
      </c>
      <c r="E5" s="3">
        <v>100000</v>
      </c>
      <c r="F5" s="3">
        <v>0</v>
      </c>
      <c r="G5" s="3">
        <f>B5+C5+D5+E5+F5</f>
        <v>5300000</v>
      </c>
      <c r="H5" s="8">
        <v>0.04</v>
      </c>
      <c r="I5" s="8">
        <v>0.04</v>
      </c>
      <c r="J5" s="3">
        <f>IF(B5&gt;2*$G$2,B5*1%,0)</f>
        <v>50000</v>
      </c>
      <c r="K5" s="3">
        <f>B5*H5</f>
        <v>200000</v>
      </c>
      <c r="L5" s="3">
        <f>B5*I5</f>
        <v>200000</v>
      </c>
      <c r="M5" s="3">
        <f>K5+L5+J5</f>
        <v>450000</v>
      </c>
      <c r="N5" s="3">
        <f>G5-M5</f>
        <v>4850000</v>
      </c>
      <c r="O5" s="3">
        <f>N5</f>
        <v>4850000</v>
      </c>
    </row>
    <row r="6" spans="1:15">
      <c r="A6" s="7" t="s">
        <v>19</v>
      </c>
      <c r="B6" s="3">
        <v>6200000</v>
      </c>
      <c r="C6" s="3">
        <v>100000</v>
      </c>
      <c r="D6" s="3">
        <v>100000</v>
      </c>
      <c r="E6" s="3">
        <v>20000</v>
      </c>
      <c r="F6" s="3">
        <v>0</v>
      </c>
      <c r="G6" s="3">
        <f t="shared" ref="G6:G21" si="0">B6+C6+D6+E6+F6</f>
        <v>6420000</v>
      </c>
      <c r="H6" s="8">
        <v>0.04</v>
      </c>
      <c r="I6" s="8">
        <v>0.04</v>
      </c>
      <c r="J6" s="3">
        <f>IF(B6&gt;2*$G$2,B6*1%,0)</f>
        <v>62000</v>
      </c>
      <c r="K6" s="3">
        <f t="shared" ref="K6:K21" si="1">B6*H6</f>
        <v>248000</v>
      </c>
      <c r="L6" s="3">
        <f t="shared" ref="L6:L21" si="2">B6*I6</f>
        <v>248000</v>
      </c>
      <c r="M6" s="3">
        <f t="shared" ref="M6:M21" si="3">K6+L6+J6</f>
        <v>558000</v>
      </c>
      <c r="N6" s="3">
        <f t="shared" ref="N6:N21" si="4">G6-M6</f>
        <v>5862000</v>
      </c>
      <c r="O6" s="3">
        <f>N6</f>
        <v>5862000</v>
      </c>
    </row>
    <row r="7" spans="1:15">
      <c r="A7" s="7" t="s">
        <v>20</v>
      </c>
      <c r="B7" s="3">
        <v>4500000</v>
      </c>
      <c r="C7" s="3">
        <v>50000</v>
      </c>
      <c r="D7" s="3">
        <v>50000</v>
      </c>
      <c r="E7" s="3">
        <v>20000</v>
      </c>
      <c r="F7" s="3">
        <v>0</v>
      </c>
      <c r="G7" s="3">
        <f t="shared" si="0"/>
        <v>4620000</v>
      </c>
      <c r="H7" s="8">
        <v>0.04</v>
      </c>
      <c r="I7" s="8">
        <v>0.04</v>
      </c>
      <c r="J7" s="3">
        <f>IF(B7&gt;2*$G$2,B7*1%,0)</f>
        <v>45000</v>
      </c>
      <c r="K7" s="3">
        <f t="shared" si="1"/>
        <v>180000</v>
      </c>
      <c r="L7" s="3">
        <f t="shared" si="2"/>
        <v>180000</v>
      </c>
      <c r="M7" s="3">
        <f t="shared" si="3"/>
        <v>405000</v>
      </c>
      <c r="N7" s="3">
        <f t="shared" si="4"/>
        <v>4215000</v>
      </c>
      <c r="O7" s="3">
        <f>N7</f>
        <v>4215000</v>
      </c>
    </row>
    <row r="8" spans="1:15">
      <c r="A8" s="7" t="s">
        <v>21</v>
      </c>
      <c r="B8" s="3">
        <v>4000000</v>
      </c>
      <c r="C8" s="3">
        <v>200000</v>
      </c>
      <c r="D8" s="3">
        <v>60000</v>
      </c>
      <c r="E8" s="3">
        <v>10000</v>
      </c>
      <c r="F8" s="3">
        <v>0</v>
      </c>
      <c r="G8" s="3">
        <f t="shared" si="0"/>
        <v>4270000</v>
      </c>
      <c r="H8" s="8">
        <v>0.04</v>
      </c>
      <c r="I8" s="8">
        <v>0.04</v>
      </c>
      <c r="J8" s="3">
        <f>IF(B8&gt;2*$G$2,B8*1%,0)</f>
        <v>40000</v>
      </c>
      <c r="K8" s="3">
        <f t="shared" si="1"/>
        <v>160000</v>
      </c>
      <c r="L8" s="3">
        <f t="shared" si="2"/>
        <v>160000</v>
      </c>
      <c r="M8" s="3">
        <f t="shared" si="3"/>
        <v>360000</v>
      </c>
      <c r="N8" s="3">
        <f t="shared" si="4"/>
        <v>3910000</v>
      </c>
      <c r="O8" s="3">
        <f>N8</f>
        <v>3910000</v>
      </c>
    </row>
    <row r="9" spans="1:15">
      <c r="A9" s="7"/>
      <c r="B9" s="3"/>
      <c r="C9" s="3"/>
      <c r="D9" s="3"/>
      <c r="E9" s="3"/>
      <c r="F9" s="3"/>
      <c r="G9" s="3"/>
      <c r="H9" s="8"/>
      <c r="I9" s="8"/>
      <c r="J9" s="3"/>
      <c r="K9" s="3"/>
      <c r="L9" s="3"/>
      <c r="M9" s="3"/>
      <c r="N9" s="3"/>
      <c r="O9" s="3"/>
    </row>
    <row r="10" spans="1:15">
      <c r="A10" s="9" t="s">
        <v>38</v>
      </c>
      <c r="B10" s="3"/>
      <c r="C10" s="3"/>
      <c r="D10" s="3"/>
      <c r="E10" s="3"/>
      <c r="F10" s="3"/>
      <c r="G10" s="3"/>
      <c r="H10" s="8"/>
      <c r="I10" s="8"/>
      <c r="J10" s="3"/>
      <c r="K10" s="3"/>
      <c r="L10" s="3"/>
      <c r="M10" s="3"/>
      <c r="N10" s="3"/>
      <c r="O10" s="3"/>
    </row>
    <row r="11" spans="1:15">
      <c r="A11" s="7" t="s">
        <v>22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f t="shared" si="0"/>
        <v>0</v>
      </c>
      <c r="H11" s="8">
        <v>0.04</v>
      </c>
      <c r="I11" s="8">
        <v>0.04</v>
      </c>
      <c r="J11" s="3">
        <f>IF(B11&gt;2*G8,B11*1%,0)</f>
        <v>0</v>
      </c>
      <c r="K11" s="3">
        <f t="shared" si="1"/>
        <v>0</v>
      </c>
      <c r="L11" s="3">
        <f t="shared" si="2"/>
        <v>0</v>
      </c>
      <c r="M11" s="3">
        <f t="shared" si="3"/>
        <v>0</v>
      </c>
      <c r="N11" s="3">
        <f t="shared" si="4"/>
        <v>0</v>
      </c>
      <c r="O11" s="3">
        <f t="shared" ref="O11:O14" si="5">N11</f>
        <v>0</v>
      </c>
    </row>
    <row r="12" spans="1:15" ht="28.8">
      <c r="A12" s="7" t="s">
        <v>23</v>
      </c>
      <c r="B12" s="3">
        <v>3500000</v>
      </c>
      <c r="C12" s="3">
        <v>0</v>
      </c>
      <c r="D12" s="3">
        <v>0</v>
      </c>
      <c r="E12" s="3">
        <v>0</v>
      </c>
      <c r="F12" s="3">
        <v>0</v>
      </c>
      <c r="G12" s="3">
        <f t="shared" si="0"/>
        <v>3500000</v>
      </c>
      <c r="H12" s="8">
        <v>0.04</v>
      </c>
      <c r="I12" s="8">
        <v>0.04</v>
      </c>
      <c r="J12" s="3">
        <f>IF(B12&gt;2*G9,B12*1%,0)</f>
        <v>35000</v>
      </c>
      <c r="K12" s="3">
        <f t="shared" si="1"/>
        <v>140000</v>
      </c>
      <c r="L12" s="3">
        <f t="shared" si="2"/>
        <v>140000</v>
      </c>
      <c r="M12" s="3">
        <f t="shared" si="3"/>
        <v>315000</v>
      </c>
      <c r="N12" s="3">
        <f t="shared" si="4"/>
        <v>3185000</v>
      </c>
      <c r="O12" s="3">
        <f t="shared" si="5"/>
        <v>3185000</v>
      </c>
    </row>
    <row r="13" spans="1:15">
      <c r="A13" s="7" t="s">
        <v>24</v>
      </c>
      <c r="B13" s="3">
        <v>25000000</v>
      </c>
      <c r="C13" s="3">
        <v>200000</v>
      </c>
      <c r="D13" s="3">
        <v>100000</v>
      </c>
      <c r="E13" s="3">
        <v>30000</v>
      </c>
      <c r="F13" s="3">
        <v>0</v>
      </c>
      <c r="G13" s="3">
        <f t="shared" si="0"/>
        <v>25330000</v>
      </c>
      <c r="H13" s="8">
        <v>0.04</v>
      </c>
      <c r="I13" s="8">
        <v>0.04</v>
      </c>
      <c r="J13" s="3">
        <f>IF(B13&gt;2*G2,B13*1%,0)</f>
        <v>250000</v>
      </c>
      <c r="K13" s="3">
        <f t="shared" si="1"/>
        <v>1000000</v>
      </c>
      <c r="L13" s="3">
        <f t="shared" si="2"/>
        <v>1000000</v>
      </c>
      <c r="M13" s="3">
        <f t="shared" si="3"/>
        <v>2250000</v>
      </c>
      <c r="N13" s="3">
        <f t="shared" si="4"/>
        <v>23080000</v>
      </c>
      <c r="O13" s="3">
        <f t="shared" si="5"/>
        <v>23080000</v>
      </c>
    </row>
    <row r="14" spans="1:15">
      <c r="A14" s="7" t="s">
        <v>25</v>
      </c>
      <c r="B14" s="3">
        <v>0</v>
      </c>
      <c r="C14" s="3">
        <v>0</v>
      </c>
      <c r="D14" s="3">
        <v>0</v>
      </c>
      <c r="E14" s="3">
        <v>0</v>
      </c>
      <c r="F14" s="3">
        <v>249095</v>
      </c>
      <c r="G14" s="3">
        <f t="shared" si="0"/>
        <v>249095</v>
      </c>
      <c r="H14" s="8">
        <v>0.04</v>
      </c>
      <c r="I14" s="8">
        <v>0.04</v>
      </c>
      <c r="J14" s="3">
        <f>IF(B14&gt;2*G2,B14*1%,0)</f>
        <v>0</v>
      </c>
      <c r="K14" s="3">
        <f t="shared" si="1"/>
        <v>0</v>
      </c>
      <c r="L14" s="3">
        <f t="shared" si="2"/>
        <v>0</v>
      </c>
      <c r="M14" s="3">
        <f t="shared" si="3"/>
        <v>0</v>
      </c>
      <c r="N14" s="3">
        <f t="shared" si="4"/>
        <v>249095</v>
      </c>
      <c r="O14" s="3">
        <f t="shared" si="5"/>
        <v>249095</v>
      </c>
    </row>
    <row r="15" spans="1:15">
      <c r="A15" s="7"/>
      <c r="B15" s="3"/>
      <c r="C15" s="3"/>
      <c r="D15" s="3"/>
      <c r="E15" s="3"/>
      <c r="F15" s="3"/>
      <c r="G15" s="3"/>
      <c r="H15" s="8"/>
      <c r="I15" s="8"/>
      <c r="J15" s="3"/>
      <c r="K15" s="3"/>
      <c r="L15" s="3"/>
      <c r="M15" s="3"/>
      <c r="N15" s="3"/>
      <c r="O15" s="3"/>
    </row>
    <row r="16" spans="1:15">
      <c r="A16" s="9" t="s">
        <v>26</v>
      </c>
      <c r="B16" s="3"/>
      <c r="C16" s="3"/>
      <c r="D16" s="3"/>
      <c r="E16" s="3"/>
      <c r="F16" s="3"/>
      <c r="G16" s="3"/>
      <c r="H16" s="8"/>
      <c r="I16" s="8"/>
      <c r="J16" s="3"/>
      <c r="K16" s="3"/>
      <c r="L16" s="3"/>
      <c r="M16" s="3"/>
      <c r="N16" s="3"/>
      <c r="O16" s="3"/>
    </row>
    <row r="17" spans="1:15">
      <c r="A17" s="7" t="s">
        <v>27</v>
      </c>
      <c r="B17" s="3">
        <v>-200000</v>
      </c>
      <c r="C17" s="3">
        <v>0</v>
      </c>
      <c r="D17" s="3">
        <v>0</v>
      </c>
      <c r="E17" s="3">
        <v>0</v>
      </c>
      <c r="F17" s="3">
        <v>0</v>
      </c>
      <c r="G17" s="3">
        <f t="shared" si="0"/>
        <v>-200000</v>
      </c>
      <c r="H17" s="8">
        <v>0.04</v>
      </c>
      <c r="I17" s="8">
        <v>0.04</v>
      </c>
      <c r="J17" s="3">
        <f>IF(B17&gt;2*G14,B17*1%,0)</f>
        <v>0</v>
      </c>
      <c r="K17" s="3">
        <f t="shared" si="1"/>
        <v>-8000</v>
      </c>
      <c r="L17" s="3">
        <f t="shared" si="2"/>
        <v>-8000</v>
      </c>
      <c r="M17" s="3">
        <f t="shared" si="3"/>
        <v>-16000</v>
      </c>
      <c r="N17" s="3">
        <f t="shared" si="4"/>
        <v>-184000</v>
      </c>
      <c r="O17" s="3" t="s">
        <v>28</v>
      </c>
    </row>
    <row r="18" spans="1:15">
      <c r="A18" s="7" t="s">
        <v>29</v>
      </c>
      <c r="B18" s="3">
        <v>99999999999</v>
      </c>
      <c r="C18" s="3">
        <v>0</v>
      </c>
      <c r="D18" s="3">
        <v>0</v>
      </c>
      <c r="E18" s="3">
        <v>0</v>
      </c>
      <c r="F18" s="3">
        <v>0</v>
      </c>
      <c r="G18" s="3">
        <f t="shared" si="0"/>
        <v>99999999999</v>
      </c>
      <c r="H18" s="8">
        <v>0.04</v>
      </c>
      <c r="I18" s="8">
        <v>0.04</v>
      </c>
      <c r="J18" s="3">
        <f>IF(B18&gt;2*G15,B18*1%,0)</f>
        <v>999999999.99000001</v>
      </c>
      <c r="K18" s="3">
        <f t="shared" si="1"/>
        <v>3999999999.96</v>
      </c>
      <c r="L18" s="3">
        <f t="shared" si="2"/>
        <v>3999999999.96</v>
      </c>
      <c r="M18" s="3">
        <f t="shared" si="3"/>
        <v>8999999999.9099998</v>
      </c>
      <c r="N18" s="3">
        <f t="shared" si="4"/>
        <v>90999999999.089996</v>
      </c>
      <c r="O18" s="3" t="s">
        <v>30</v>
      </c>
    </row>
    <row r="19" spans="1:15">
      <c r="A19" t="s">
        <v>31</v>
      </c>
      <c r="B19" s="3">
        <v>200000</v>
      </c>
      <c r="C19" s="3">
        <v>20000</v>
      </c>
      <c r="D19" s="3">
        <v>60000</v>
      </c>
      <c r="E19" s="3">
        <v>34500</v>
      </c>
      <c r="F19" s="3">
        <v>0</v>
      </c>
      <c r="G19" s="3">
        <f t="shared" si="0"/>
        <v>314500</v>
      </c>
      <c r="H19" s="8">
        <v>0.8</v>
      </c>
      <c r="I19" s="8" t="s">
        <v>32</v>
      </c>
      <c r="J19" s="3">
        <f>IF(B19&gt;2*G16,B19*1%,0)</f>
        <v>2000</v>
      </c>
      <c r="K19" s="3">
        <f t="shared" si="1"/>
        <v>160000</v>
      </c>
      <c r="L19" s="3" t="e">
        <f t="shared" si="2"/>
        <v>#VALUE!</v>
      </c>
      <c r="M19" s="3" t="e">
        <f t="shared" si="3"/>
        <v>#VALUE!</v>
      </c>
      <c r="N19" s="3" t="e">
        <f t="shared" si="4"/>
        <v>#VALUE!</v>
      </c>
      <c r="O19" s="3" t="s">
        <v>33</v>
      </c>
    </row>
    <row r="20" spans="1:15">
      <c r="A20" s="7" t="s">
        <v>34</v>
      </c>
      <c r="B20" s="3"/>
      <c r="C20" s="3">
        <v>24500</v>
      </c>
      <c r="D20" s="3">
        <v>50000</v>
      </c>
      <c r="E20" s="3">
        <v>60000</v>
      </c>
      <c r="F20" s="3">
        <v>0</v>
      </c>
      <c r="G20" s="3">
        <f t="shared" si="0"/>
        <v>134500</v>
      </c>
      <c r="H20" s="8">
        <v>0.04</v>
      </c>
      <c r="I20" s="8">
        <v>0.04</v>
      </c>
      <c r="J20" s="3">
        <f>IF(B20&gt;2*G17,B20*1%,0)</f>
        <v>0</v>
      </c>
      <c r="K20" s="3">
        <f t="shared" si="1"/>
        <v>0</v>
      </c>
      <c r="L20" s="3">
        <f t="shared" si="2"/>
        <v>0</v>
      </c>
      <c r="M20" s="3">
        <f t="shared" si="3"/>
        <v>0</v>
      </c>
      <c r="N20" s="3">
        <f t="shared" si="4"/>
        <v>134500</v>
      </c>
      <c r="O20" s="3" t="s">
        <v>35</v>
      </c>
    </row>
    <row r="21" spans="1:15">
      <c r="A21" s="3" t="s">
        <v>36</v>
      </c>
      <c r="B21" s="3" t="b">
        <v>1</v>
      </c>
      <c r="C21" s="3">
        <v>2000</v>
      </c>
      <c r="D21" s="3">
        <v>50000</v>
      </c>
      <c r="E21" s="3">
        <v>60000</v>
      </c>
      <c r="F21" s="3">
        <v>0</v>
      </c>
      <c r="G21" s="3">
        <f t="shared" si="0"/>
        <v>112001</v>
      </c>
      <c r="H21" s="8">
        <v>0.04</v>
      </c>
      <c r="I21" s="8">
        <v>0.04</v>
      </c>
      <c r="J21" s="3">
        <f>IF(B21&gt;2*G2,B21*1%,0)</f>
        <v>0.01</v>
      </c>
      <c r="K21" s="3">
        <f t="shared" si="1"/>
        <v>0.04</v>
      </c>
      <c r="L21" s="3">
        <f t="shared" si="2"/>
        <v>0.04</v>
      </c>
      <c r="M21" s="3">
        <f t="shared" si="3"/>
        <v>0.09</v>
      </c>
      <c r="N21" s="3">
        <f t="shared" si="4"/>
        <v>112000.91</v>
      </c>
      <c r="O21" s="3" t="s">
        <v>37</v>
      </c>
    </row>
  </sheetData>
  <mergeCells count="2">
    <mergeCell ref="B3:F3"/>
    <mergeCell ref="H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srend</dc:creator>
  <cp:lastModifiedBy>USER</cp:lastModifiedBy>
  <dcterms:created xsi:type="dcterms:W3CDTF">2026-02-07T20:57:00Z</dcterms:created>
  <dcterms:modified xsi:type="dcterms:W3CDTF">2026-02-27T13:40:43Z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AE8D44DA98A74547994D5E54E194F7F0_13</vt:lpwstr>
  </property>
  <property fmtid="{D5CDD505-2E9C-101B-9397-08002B2CF9AE}" pid="3" name="KSOProductBuildVer">
    <vt:lpwstr>3082-12.2.0.23196</vt:lpwstr>
  </property>
</Properties>
</file>